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gram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and Stock" sheetId="3" state="visible" r:id="rId3"/>
    <sheet xmlns:r="http://schemas.openxmlformats.org/officeDocument/2006/relationships" name="Reorde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D700"/>
      <sz val="14"/>
    </font>
    <font>
      <b val="1"/>
      <color rgb="00FFD700"/>
      <sz val="12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2" customWidth="1" min="4" max="4"/>
  </cols>
  <sheetData>
    <row r="1">
      <c r="A1" s="1" t="inlineStr">
        <is>
          <t>HAIROTICMEN – Planogram (Max per Stand) | Berlin Pilot 2025</t>
        </is>
      </c>
    </row>
    <row r="2">
      <c r="A2" s="2" t="inlineStr">
        <is>
          <t>SKU</t>
        </is>
      </c>
      <c r="B2" s="2" t="inlineStr">
        <is>
          <t>اسم المنتج</t>
        </is>
      </c>
      <c r="C2" s="2" t="inlineStr">
        <is>
          <t>الرف/الفئة</t>
        </is>
      </c>
      <c r="D2" s="2" t="inlineStr">
        <is>
          <t>الحد الأقصى لكل استاند</t>
        </is>
      </c>
    </row>
    <row r="3">
      <c r="A3" s="3" t="inlineStr">
        <is>
          <t>BRD-KIT-001</t>
        </is>
      </c>
      <c r="B3" s="3" t="inlineStr">
        <is>
          <t>Beard Kit 3 in 1</t>
        </is>
      </c>
      <c r="C3" s="3" t="inlineStr">
        <is>
          <t>Beard – Top</t>
        </is>
      </c>
      <c r="D3" s="3" t="n">
        <v>6</v>
      </c>
    </row>
    <row r="4">
      <c r="A4" s="3" t="inlineStr">
        <is>
          <t>BRD-OIL-050</t>
        </is>
      </c>
      <c r="B4" s="3" t="inlineStr">
        <is>
          <t>Beard Oil 50ml</t>
        </is>
      </c>
      <c r="C4" s="3" t="inlineStr">
        <is>
          <t>Beard – Top</t>
        </is>
      </c>
      <c r="D4" s="3" t="n">
        <v>8</v>
      </c>
    </row>
    <row r="5">
      <c r="A5" s="3" t="inlineStr">
        <is>
          <t>BRD-BLM-050</t>
        </is>
      </c>
      <c r="B5" s="3" t="inlineStr">
        <is>
          <t>Beard Balm 50ml</t>
        </is>
      </c>
      <c r="C5" s="3" t="inlineStr">
        <is>
          <t>Beard – Top</t>
        </is>
      </c>
      <c r="D5" s="3" t="n">
        <v>8</v>
      </c>
    </row>
    <row r="6">
      <c r="A6" s="3" t="inlineStr">
        <is>
          <t>BRD-SHP-150</t>
        </is>
      </c>
      <c r="B6" s="3" t="inlineStr">
        <is>
          <t>Beard Shampoo 150ml</t>
        </is>
      </c>
      <c r="C6" s="3" t="inlineStr">
        <is>
          <t>Beard – Top</t>
        </is>
      </c>
      <c r="D6" s="3" t="n">
        <v>6</v>
      </c>
    </row>
    <row r="7">
      <c r="A7" s="3" t="inlineStr">
        <is>
          <t>BRD-TNC-150</t>
        </is>
      </c>
      <c r="B7" s="3" t="inlineStr">
        <is>
          <t>Beard Tonic 150ml</t>
        </is>
      </c>
      <c r="C7" s="3" t="inlineStr">
        <is>
          <t>Beard – Top</t>
        </is>
      </c>
      <c r="D7" s="3" t="n">
        <v>6</v>
      </c>
    </row>
    <row r="8">
      <c r="A8" s="3" t="inlineStr">
        <is>
          <t>HR-SIL-150</t>
        </is>
      </c>
      <c r="B8" s="3" t="inlineStr">
        <is>
          <t>Silicon Velvet 150ml</t>
        </is>
      </c>
      <c r="C8" s="3" t="inlineStr">
        <is>
          <t>Hair – Mid</t>
        </is>
      </c>
      <c r="D8" s="3" t="n">
        <v>8</v>
      </c>
    </row>
    <row r="9">
      <c r="A9" s="3" t="inlineStr">
        <is>
          <t>WX-MAT-150</t>
        </is>
      </c>
      <c r="B9" s="3" t="inlineStr">
        <is>
          <t>Matte Wax 150ml</t>
        </is>
      </c>
      <c r="C9" s="3" t="inlineStr">
        <is>
          <t>Wax – Mid</t>
        </is>
      </c>
      <c r="D9" s="3" t="n">
        <v>10</v>
      </c>
    </row>
    <row r="10">
      <c r="A10" s="3" t="inlineStr">
        <is>
          <t>WX-SPD-150</t>
        </is>
      </c>
      <c r="B10" s="3" t="inlineStr">
        <is>
          <t>Spider Wax 150ml</t>
        </is>
      </c>
      <c r="C10" s="3" t="inlineStr">
        <is>
          <t>Wax – Mid</t>
        </is>
      </c>
      <c r="D10" s="3" t="n">
        <v>10</v>
      </c>
    </row>
    <row r="11">
      <c r="A11" s="3" t="inlineStr">
        <is>
          <t>WX-GLY-150</t>
        </is>
      </c>
      <c r="B11" s="3" t="inlineStr">
        <is>
          <t>Clay Wax 150ml</t>
        </is>
      </c>
      <c r="C11" s="3" t="inlineStr">
        <is>
          <t>Wax – Mid</t>
        </is>
      </c>
      <c r="D11" s="3" t="n">
        <v>10</v>
      </c>
    </row>
    <row r="12">
      <c r="A12" s="3" t="inlineStr">
        <is>
          <t>WX-GEN-150</t>
        </is>
      </c>
      <c r="B12" s="3" t="inlineStr">
        <is>
          <t>Gentle Wax 150ml</t>
        </is>
      </c>
      <c r="C12" s="3" t="inlineStr">
        <is>
          <t>Wax – Mid</t>
        </is>
      </c>
      <c r="D12" s="3" t="n">
        <v>10</v>
      </c>
    </row>
    <row r="13">
      <c r="A13" s="3" t="inlineStr">
        <is>
          <t>SHV-GEL-500</t>
        </is>
      </c>
      <c r="B13" s="3" t="inlineStr">
        <is>
          <t>Shaving Gel 500ml</t>
        </is>
      </c>
      <c r="C13" s="3" t="inlineStr">
        <is>
          <t>Shaving – Bottom</t>
        </is>
      </c>
      <c r="D13" s="3" t="n">
        <v>4</v>
      </c>
    </row>
    <row r="14">
      <c r="A14" s="3" t="inlineStr">
        <is>
          <t>SHV-AFT-500</t>
        </is>
      </c>
      <c r="B14" s="3" t="inlineStr">
        <is>
          <t>After Shave Balm 500ml</t>
        </is>
      </c>
      <c r="C14" s="3" t="inlineStr">
        <is>
          <t>Shaving – Bottom</t>
        </is>
      </c>
      <c r="D14" s="3" t="n">
        <v>4</v>
      </c>
    </row>
    <row r="15">
      <c r="A15" s="3" t="inlineStr">
        <is>
          <t>SHV-CLG-175</t>
        </is>
      </c>
      <c r="B15" s="3" t="inlineStr">
        <is>
          <t>After Shave Cologne 175ml</t>
        </is>
      </c>
      <c r="C15" s="3" t="inlineStr">
        <is>
          <t>Shaving – Bottom</t>
        </is>
      </c>
      <c r="D15" s="3" t="n">
        <v>6</v>
      </c>
    </row>
    <row r="16">
      <c r="A16" s="3" t="inlineStr">
        <is>
          <t>TLS-BRB-001</t>
        </is>
      </c>
      <c r="B16" s="3" t="inlineStr">
        <is>
          <t>Beard Brush</t>
        </is>
      </c>
      <c r="C16" s="3" t="inlineStr">
        <is>
          <t>Tools – Side</t>
        </is>
      </c>
      <c r="D16" s="3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6" customWidth="1" min="4" max="4"/>
    <col width="10" customWidth="1" min="5" max="5"/>
    <col width="12" customWidth="1" min="6" max="6"/>
    <col width="12" customWidth="1" min="7" max="7"/>
    <col width="18" customWidth="1" min="8" max="8"/>
    <col width="16" customWidth="1" min="9" max="9"/>
    <col width="14" customWidth="1" min="10" max="10"/>
    <col width="18" customWidth="1" min="11" max="11"/>
    <col width="22" customWidth="1" min="12" max="12"/>
    <col width="26" customWidth="1" min="13" max="13"/>
  </cols>
  <sheetData>
    <row r="1">
      <c r="A1" s="1" t="inlineStr">
        <is>
          <t>Product Master</t>
        </is>
      </c>
    </row>
    <row r="2">
      <c r="A2" s="2" t="inlineStr">
        <is>
          <t>SKU</t>
        </is>
      </c>
      <c r="B2" s="2" t="inlineStr">
        <is>
          <t>اسم المنتج</t>
        </is>
      </c>
      <c r="C2" s="2" t="inlineStr">
        <is>
          <t>الفئة</t>
        </is>
      </c>
      <c r="D2" s="2" t="inlineStr">
        <is>
          <t>Barcode</t>
        </is>
      </c>
      <c r="E2" s="2" t="inlineStr">
        <is>
          <t>الوحدة</t>
        </is>
      </c>
      <c r="F2" s="2" t="inlineStr">
        <is>
          <t>تكلفة (€)</t>
        </is>
      </c>
      <c r="G2" s="2" t="inlineStr">
        <is>
          <t>RRP (€)</t>
        </is>
      </c>
      <c r="H2" s="2" t="inlineStr">
        <is>
          <t>المورد</t>
        </is>
      </c>
      <c r="I2" s="2" t="inlineStr">
        <is>
          <t>Lead Time (أيام)</t>
        </is>
      </c>
      <c r="J2" s="2" t="inlineStr">
        <is>
          <t>مخزون آمن</t>
        </is>
      </c>
      <c r="K2" s="2" t="inlineStr">
        <is>
          <t>مبيعات يومية متوسطة</t>
        </is>
      </c>
      <c r="L2" s="2" t="inlineStr">
        <is>
          <t>ROP (نقطة إعادة الطلب)</t>
        </is>
      </c>
      <c r="M2" s="2" t="inlineStr">
        <is>
          <t>ملاحظات</t>
        </is>
      </c>
    </row>
    <row r="3">
      <c r="A3" s="3" t="inlineStr">
        <is>
          <t>BRD-KIT-001</t>
        </is>
      </c>
      <c r="B3" s="3" t="inlineStr">
        <is>
          <t>Beard Kit 3 in 1</t>
        </is>
      </c>
      <c r="C3" s="3" t="inlineStr">
        <is>
          <t>Beard</t>
        </is>
      </c>
      <c r="D3" s="3" t="inlineStr"/>
      <c r="E3" s="3" t="inlineStr">
        <is>
          <t>pcs</t>
        </is>
      </c>
      <c r="F3" s="3" t="inlineStr"/>
      <c r="G3" s="3" t="inlineStr"/>
      <c r="H3" s="3" t="inlineStr">
        <is>
          <t>MH Trading UG</t>
        </is>
      </c>
      <c r="I3" s="3" t="n">
        <v>7</v>
      </c>
      <c r="J3" s="3" t="n">
        <v>2</v>
      </c>
      <c r="K3" s="3" t="inlineStr"/>
      <c r="L3" s="3">
        <f>J3*I3+K3</f>
        <v/>
      </c>
      <c r="M3" s="3" t="inlineStr"/>
    </row>
    <row r="4">
      <c r="A4" s="3" t="inlineStr">
        <is>
          <t>BRD-OIL-050</t>
        </is>
      </c>
      <c r="B4" s="3" t="inlineStr">
        <is>
          <t>Beard Oil 50ml</t>
        </is>
      </c>
      <c r="C4" s="3" t="inlineStr">
        <is>
          <t>Beard</t>
        </is>
      </c>
      <c r="D4" s="3" t="inlineStr"/>
      <c r="E4" s="3" t="inlineStr">
        <is>
          <t>pcs</t>
        </is>
      </c>
      <c r="F4" s="3" t="inlineStr"/>
      <c r="G4" s="3" t="inlineStr"/>
      <c r="H4" s="3" t="inlineStr">
        <is>
          <t>MH Trading UG</t>
        </is>
      </c>
      <c r="I4" s="3" t="n">
        <v>7</v>
      </c>
      <c r="J4" s="3" t="n">
        <v>2</v>
      </c>
      <c r="K4" s="3" t="inlineStr"/>
      <c r="L4" s="3">
        <f>J3*I3+K3</f>
        <v/>
      </c>
      <c r="M4" s="3" t="inlineStr"/>
    </row>
    <row r="5">
      <c r="A5" s="3" t="inlineStr">
        <is>
          <t>BRD-BLM-050</t>
        </is>
      </c>
      <c r="B5" s="3" t="inlineStr">
        <is>
          <t>Beard Balm 50ml</t>
        </is>
      </c>
      <c r="C5" s="3" t="inlineStr">
        <is>
          <t>Beard</t>
        </is>
      </c>
      <c r="D5" s="3" t="inlineStr"/>
      <c r="E5" s="3" t="inlineStr">
        <is>
          <t>pcs</t>
        </is>
      </c>
      <c r="F5" s="3" t="inlineStr"/>
      <c r="G5" s="3" t="inlineStr"/>
      <c r="H5" s="3" t="inlineStr">
        <is>
          <t>MH Trading UG</t>
        </is>
      </c>
      <c r="I5" s="3" t="n">
        <v>7</v>
      </c>
      <c r="J5" s="3" t="n">
        <v>2</v>
      </c>
      <c r="K5" s="3" t="inlineStr"/>
      <c r="L5" s="3">
        <f>J3*I3+K3</f>
        <v/>
      </c>
      <c r="M5" s="3" t="inlineStr"/>
    </row>
    <row r="6">
      <c r="A6" s="3" t="inlineStr">
        <is>
          <t>BRD-SHP-150</t>
        </is>
      </c>
      <c r="B6" s="3" t="inlineStr">
        <is>
          <t>Beard Shampoo 150ml</t>
        </is>
      </c>
      <c r="C6" s="3" t="inlineStr">
        <is>
          <t>Beard</t>
        </is>
      </c>
      <c r="D6" s="3" t="inlineStr"/>
      <c r="E6" s="3" t="inlineStr">
        <is>
          <t>pcs</t>
        </is>
      </c>
      <c r="F6" s="3" t="inlineStr"/>
      <c r="G6" s="3" t="inlineStr"/>
      <c r="H6" s="3" t="inlineStr">
        <is>
          <t>MH Trading UG</t>
        </is>
      </c>
      <c r="I6" s="3" t="n">
        <v>7</v>
      </c>
      <c r="J6" s="3" t="n">
        <v>2</v>
      </c>
      <c r="K6" s="3" t="inlineStr"/>
      <c r="L6" s="3">
        <f>J3*I3+K3</f>
        <v/>
      </c>
      <c r="M6" s="3" t="inlineStr"/>
    </row>
    <row r="7">
      <c r="A7" s="3" t="inlineStr">
        <is>
          <t>BRD-TNC-150</t>
        </is>
      </c>
      <c r="B7" s="3" t="inlineStr">
        <is>
          <t>Beard Tonic 150ml</t>
        </is>
      </c>
      <c r="C7" s="3" t="inlineStr">
        <is>
          <t>Beard</t>
        </is>
      </c>
      <c r="D7" s="3" t="inlineStr"/>
      <c r="E7" s="3" t="inlineStr">
        <is>
          <t>pcs</t>
        </is>
      </c>
      <c r="F7" s="3" t="inlineStr"/>
      <c r="G7" s="3" t="inlineStr"/>
      <c r="H7" s="3" t="inlineStr">
        <is>
          <t>MH Trading UG</t>
        </is>
      </c>
      <c r="I7" s="3" t="n">
        <v>7</v>
      </c>
      <c r="J7" s="3" t="n">
        <v>2</v>
      </c>
      <c r="K7" s="3" t="inlineStr"/>
      <c r="L7" s="3">
        <f>J3*I3+K3</f>
        <v/>
      </c>
      <c r="M7" s="3" t="inlineStr"/>
    </row>
    <row r="8">
      <c r="A8" s="3" t="inlineStr">
        <is>
          <t>HR-SIL-150</t>
        </is>
      </c>
      <c r="B8" s="3" t="inlineStr">
        <is>
          <t>Silicon Velvet 150ml</t>
        </is>
      </c>
      <c r="C8" s="3" t="inlineStr">
        <is>
          <t>Hair</t>
        </is>
      </c>
      <c r="D8" s="3" t="inlineStr"/>
      <c r="E8" s="3" t="inlineStr">
        <is>
          <t>pcs</t>
        </is>
      </c>
      <c r="F8" s="3" t="inlineStr"/>
      <c r="G8" s="3" t="inlineStr"/>
      <c r="H8" s="3" t="inlineStr">
        <is>
          <t>MH Trading UG</t>
        </is>
      </c>
      <c r="I8" s="3" t="n">
        <v>7</v>
      </c>
      <c r="J8" s="3" t="n">
        <v>2</v>
      </c>
      <c r="K8" s="3" t="inlineStr"/>
      <c r="L8" s="3">
        <f>J3*I3+K3</f>
        <v/>
      </c>
      <c r="M8" s="3" t="inlineStr"/>
    </row>
    <row r="9">
      <c r="A9" s="3" t="inlineStr">
        <is>
          <t>WX-MAT-150</t>
        </is>
      </c>
      <c r="B9" s="3" t="inlineStr">
        <is>
          <t>Matte Wax 150ml</t>
        </is>
      </c>
      <c r="C9" s="3" t="inlineStr">
        <is>
          <t>Wax</t>
        </is>
      </c>
      <c r="D9" s="3" t="inlineStr"/>
      <c r="E9" s="3" t="inlineStr">
        <is>
          <t>pcs</t>
        </is>
      </c>
      <c r="F9" s="3" t="inlineStr"/>
      <c r="G9" s="3" t="inlineStr"/>
      <c r="H9" s="3" t="inlineStr">
        <is>
          <t>MH Trading UG</t>
        </is>
      </c>
      <c r="I9" s="3" t="n">
        <v>7</v>
      </c>
      <c r="J9" s="3" t="n">
        <v>2</v>
      </c>
      <c r="K9" s="3" t="inlineStr"/>
      <c r="L9" s="3">
        <f>J3*I3+K3</f>
        <v/>
      </c>
      <c r="M9" s="3" t="inlineStr"/>
    </row>
    <row r="10">
      <c r="A10" s="3" t="inlineStr">
        <is>
          <t>WX-SPD-150</t>
        </is>
      </c>
      <c r="B10" s="3" t="inlineStr">
        <is>
          <t>Spider Wax 150ml</t>
        </is>
      </c>
      <c r="C10" s="3" t="inlineStr">
        <is>
          <t>Wax</t>
        </is>
      </c>
      <c r="D10" s="3" t="inlineStr"/>
      <c r="E10" s="3" t="inlineStr">
        <is>
          <t>pcs</t>
        </is>
      </c>
      <c r="F10" s="3" t="inlineStr"/>
      <c r="G10" s="3" t="inlineStr"/>
      <c r="H10" s="3" t="inlineStr">
        <is>
          <t>MH Trading UG</t>
        </is>
      </c>
      <c r="I10" s="3" t="n">
        <v>7</v>
      </c>
      <c r="J10" s="3" t="n">
        <v>2</v>
      </c>
      <c r="K10" s="3" t="inlineStr"/>
      <c r="L10" s="3">
        <f>J3*I3+K3</f>
        <v/>
      </c>
      <c r="M10" s="3" t="inlineStr"/>
    </row>
    <row r="11">
      <c r="A11" s="3" t="inlineStr">
        <is>
          <t>WX-GLY-150</t>
        </is>
      </c>
      <c r="B11" s="3" t="inlineStr">
        <is>
          <t>Clay Wax 150ml</t>
        </is>
      </c>
      <c r="C11" s="3" t="inlineStr">
        <is>
          <t>Wax</t>
        </is>
      </c>
      <c r="D11" s="3" t="inlineStr"/>
      <c r="E11" s="3" t="inlineStr">
        <is>
          <t>pcs</t>
        </is>
      </c>
      <c r="F11" s="3" t="inlineStr"/>
      <c r="G11" s="3" t="inlineStr"/>
      <c r="H11" s="3" t="inlineStr">
        <is>
          <t>MH Trading UG</t>
        </is>
      </c>
      <c r="I11" s="3" t="n">
        <v>7</v>
      </c>
      <c r="J11" s="3" t="n">
        <v>2</v>
      </c>
      <c r="K11" s="3" t="inlineStr"/>
      <c r="L11" s="3">
        <f>J3*I3+K3</f>
        <v/>
      </c>
      <c r="M11" s="3" t="inlineStr"/>
    </row>
    <row r="12">
      <c r="A12" s="3" t="inlineStr">
        <is>
          <t>WX-GEN-150</t>
        </is>
      </c>
      <c r="B12" s="3" t="inlineStr">
        <is>
          <t>Gentle Wax 150ml</t>
        </is>
      </c>
      <c r="C12" s="3" t="inlineStr">
        <is>
          <t>Wax</t>
        </is>
      </c>
      <c r="D12" s="3" t="inlineStr"/>
      <c r="E12" s="3" t="inlineStr">
        <is>
          <t>pcs</t>
        </is>
      </c>
      <c r="F12" s="3" t="inlineStr"/>
      <c r="G12" s="3" t="inlineStr"/>
      <c r="H12" s="3" t="inlineStr">
        <is>
          <t>MH Trading UG</t>
        </is>
      </c>
      <c r="I12" s="3" t="n">
        <v>7</v>
      </c>
      <c r="J12" s="3" t="n">
        <v>2</v>
      </c>
      <c r="K12" s="3" t="inlineStr"/>
      <c r="L12" s="3">
        <f>J3*I3+K3</f>
        <v/>
      </c>
      <c r="M12" s="3" t="inlineStr"/>
    </row>
    <row r="13">
      <c r="A13" s="3" t="inlineStr">
        <is>
          <t>SHV-GEL-500</t>
        </is>
      </c>
      <c r="B13" s="3" t="inlineStr">
        <is>
          <t>Shaving Gel 500ml</t>
        </is>
      </c>
      <c r="C13" s="3" t="inlineStr">
        <is>
          <t>Shaving</t>
        </is>
      </c>
      <c r="D13" s="3" t="inlineStr"/>
      <c r="E13" s="3" t="inlineStr">
        <is>
          <t>pcs</t>
        </is>
      </c>
      <c r="F13" s="3" t="inlineStr"/>
      <c r="G13" s="3" t="inlineStr"/>
      <c r="H13" s="3" t="inlineStr">
        <is>
          <t>MH Trading UG</t>
        </is>
      </c>
      <c r="I13" s="3" t="n">
        <v>7</v>
      </c>
      <c r="J13" s="3" t="n">
        <v>2</v>
      </c>
      <c r="K13" s="3" t="inlineStr"/>
      <c r="L13" s="3">
        <f>J3*I3+K3</f>
        <v/>
      </c>
      <c r="M13" s="3" t="inlineStr"/>
    </row>
    <row r="14">
      <c r="A14" s="3" t="inlineStr">
        <is>
          <t>SHV-AFT-500</t>
        </is>
      </c>
      <c r="B14" s="3" t="inlineStr">
        <is>
          <t>After Shave Balm 500ml</t>
        </is>
      </c>
      <c r="C14" s="3" t="inlineStr">
        <is>
          <t>Shaving</t>
        </is>
      </c>
      <c r="D14" s="3" t="inlineStr"/>
      <c r="E14" s="3" t="inlineStr">
        <is>
          <t>pcs</t>
        </is>
      </c>
      <c r="F14" s="3" t="inlineStr"/>
      <c r="G14" s="3" t="inlineStr"/>
      <c r="H14" s="3" t="inlineStr">
        <is>
          <t>MH Trading UG</t>
        </is>
      </c>
      <c r="I14" s="3" t="n">
        <v>7</v>
      </c>
      <c r="J14" s="3" t="n">
        <v>2</v>
      </c>
      <c r="K14" s="3" t="inlineStr"/>
      <c r="L14" s="3">
        <f>J3*I3+K3</f>
        <v/>
      </c>
      <c r="M14" s="3" t="inlineStr"/>
    </row>
    <row r="15">
      <c r="A15" s="3" t="inlineStr">
        <is>
          <t>SHV-CLG-175</t>
        </is>
      </c>
      <c r="B15" s="3" t="inlineStr">
        <is>
          <t>After Shave Cologne 175ml</t>
        </is>
      </c>
      <c r="C15" s="3" t="inlineStr">
        <is>
          <t>Shaving</t>
        </is>
      </c>
      <c r="D15" s="3" t="inlineStr"/>
      <c r="E15" s="3" t="inlineStr">
        <is>
          <t>pcs</t>
        </is>
      </c>
      <c r="F15" s="3" t="inlineStr"/>
      <c r="G15" s="3" t="inlineStr"/>
      <c r="H15" s="3" t="inlineStr">
        <is>
          <t>MH Trading UG</t>
        </is>
      </c>
      <c r="I15" s="3" t="n">
        <v>7</v>
      </c>
      <c r="J15" s="3" t="n">
        <v>2</v>
      </c>
      <c r="K15" s="3" t="inlineStr"/>
      <c r="L15" s="3">
        <f>J3*I3+K3</f>
        <v/>
      </c>
      <c r="M15" s="3" t="inlineStr"/>
    </row>
    <row r="16">
      <c r="A16" s="3" t="inlineStr">
        <is>
          <t>TLS-BRB-001</t>
        </is>
      </c>
      <c r="B16" s="3" t="inlineStr">
        <is>
          <t>Beard Brush</t>
        </is>
      </c>
      <c r="C16" s="3" t="inlineStr">
        <is>
          <t>Tools</t>
        </is>
      </c>
      <c r="D16" s="3" t="inlineStr"/>
      <c r="E16" s="3" t="inlineStr">
        <is>
          <t>pcs</t>
        </is>
      </c>
      <c r="F16" s="3" t="inlineStr"/>
      <c r="G16" s="3" t="inlineStr"/>
      <c r="H16" s="3" t="inlineStr">
        <is>
          <t>MH Trading UG</t>
        </is>
      </c>
      <c r="I16" s="3" t="n">
        <v>7</v>
      </c>
      <c r="J16" s="3" t="n">
        <v>2</v>
      </c>
      <c r="K16" s="3" t="inlineStr"/>
      <c r="L16" s="3">
        <f>J3*I3+K3</f>
        <v/>
      </c>
      <c r="M16" s="3" t="inlineStr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8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Stand-level Stock On Hand</t>
        </is>
      </c>
    </row>
    <row r="2">
      <c r="A2" s="2" t="inlineStr">
        <is>
          <t>رقم الأستاند</t>
        </is>
      </c>
      <c r="B2" s="2" t="inlineStr">
        <is>
          <t>اسم الصالون</t>
        </is>
      </c>
      <c r="C2" s="2" t="inlineStr">
        <is>
          <t>SKU</t>
        </is>
      </c>
      <c r="D2" s="2" t="inlineStr">
        <is>
          <t>اسم المنتج</t>
        </is>
      </c>
      <c r="E2" s="2" t="inlineStr">
        <is>
          <t>المتوفر (SOH)</t>
        </is>
      </c>
      <c r="F2" s="2" t="inlineStr">
        <is>
          <t>الحد الأقصى حسب Planogram</t>
        </is>
      </c>
      <c r="G2" s="2" t="inlineStr">
        <is>
          <t>كمية الطلب المقترحة</t>
        </is>
      </c>
    </row>
    <row r="3">
      <c r="A3" s="3" t="inlineStr"/>
      <c r="B3" s="3" t="inlineStr"/>
      <c r="C3" s="3" t="inlineStr"/>
      <c r="D3" s="3">
        <f>IFERROR(VLOOKUP(C3,Products!$A:$M,2,FALSE),"")</f>
        <v/>
      </c>
      <c r="E3" s="3" t="inlineStr"/>
      <c r="F3" s="3">
        <f>IFERROR(VLOOKUP(C3,Planogram!$A:$D,4,FALSE),0)</f>
        <v/>
      </c>
      <c r="G3" s="3">
        <f>MAX(0, F3-E3)</f>
        <v/>
      </c>
    </row>
    <row r="4">
      <c r="A4" s="3" t="inlineStr"/>
      <c r="B4" s="3" t="inlineStr"/>
      <c r="C4" s="3" t="inlineStr"/>
      <c r="D4" s="3">
        <f>IFERROR(VLOOKUP(C4,Products!$A:$M,2,FALSE),"")</f>
        <v/>
      </c>
      <c r="E4" s="3" t="inlineStr"/>
      <c r="F4" s="3">
        <f>IFERROR(VLOOKUP(C4,Planogram!$A:$D,4,FALSE),0)</f>
        <v/>
      </c>
      <c r="G4" s="3">
        <f>MAX(0, F4-E4)</f>
        <v/>
      </c>
    </row>
    <row r="5">
      <c r="A5" s="3" t="inlineStr"/>
      <c r="B5" s="3" t="inlineStr"/>
      <c r="C5" s="3" t="inlineStr"/>
      <c r="D5" s="3">
        <f>IFERROR(VLOOKUP(C5,Products!$A:$M,2,FALSE),"")</f>
        <v/>
      </c>
      <c r="E5" s="3" t="inlineStr"/>
      <c r="F5" s="3">
        <f>IFERROR(VLOOKUP(C5,Planogram!$A:$D,4,FALSE),0)</f>
        <v/>
      </c>
      <c r="G5" s="3">
        <f>MAX(0, F5-E5)</f>
        <v/>
      </c>
    </row>
    <row r="6">
      <c r="A6" s="3" t="inlineStr"/>
      <c r="B6" s="3" t="inlineStr"/>
      <c r="C6" s="3" t="inlineStr"/>
      <c r="D6" s="3">
        <f>IFERROR(VLOOKUP(C6,Products!$A:$M,2,FALSE),"")</f>
        <v/>
      </c>
      <c r="E6" s="3" t="inlineStr"/>
      <c r="F6" s="3">
        <f>IFERROR(VLOOKUP(C6,Planogram!$A:$D,4,FALSE),0)</f>
        <v/>
      </c>
      <c r="G6" s="3">
        <f>MAX(0, F6-E6)</f>
        <v/>
      </c>
    </row>
    <row r="7">
      <c r="A7" s="3" t="inlineStr"/>
      <c r="B7" s="3" t="inlineStr"/>
      <c r="C7" s="3" t="inlineStr"/>
      <c r="D7" s="3">
        <f>IFERROR(VLOOKUP(C7,Products!$A:$M,2,FALSE),"")</f>
        <v/>
      </c>
      <c r="E7" s="3" t="inlineStr"/>
      <c r="F7" s="3">
        <f>IFERROR(VLOOKUP(C7,Planogram!$A:$D,4,FALSE),0)</f>
        <v/>
      </c>
      <c r="G7" s="3">
        <f>MAX(0, F7-E7)</f>
        <v/>
      </c>
    </row>
    <row r="8">
      <c r="A8" s="3" t="inlineStr"/>
      <c r="B8" s="3" t="inlineStr"/>
      <c r="C8" s="3" t="inlineStr"/>
      <c r="D8" s="3">
        <f>IFERROR(VLOOKUP(C8,Products!$A:$M,2,FALSE),"")</f>
        <v/>
      </c>
      <c r="E8" s="3" t="inlineStr"/>
      <c r="F8" s="3">
        <f>IFERROR(VLOOKUP(C8,Planogram!$A:$D,4,FALSE),0)</f>
        <v/>
      </c>
      <c r="G8" s="3">
        <f>MAX(0, F8-E8)</f>
        <v/>
      </c>
    </row>
    <row r="9">
      <c r="A9" s="3" t="inlineStr"/>
      <c r="B9" s="3" t="inlineStr"/>
      <c r="C9" s="3" t="inlineStr"/>
      <c r="D9" s="3">
        <f>IFERROR(VLOOKUP(C9,Products!$A:$M,2,FALSE),"")</f>
        <v/>
      </c>
      <c r="E9" s="3" t="inlineStr"/>
      <c r="F9" s="3">
        <f>IFERROR(VLOOKUP(C9,Planogram!$A:$D,4,FALSE),0)</f>
        <v/>
      </c>
      <c r="G9" s="3">
        <f>MAX(0, F9-E9)</f>
        <v/>
      </c>
    </row>
    <row r="10">
      <c r="A10" s="3" t="inlineStr"/>
      <c r="B10" s="3" t="inlineStr"/>
      <c r="C10" s="3" t="inlineStr"/>
      <c r="D10" s="3">
        <f>IFERROR(VLOOKUP(C10,Products!$A:$M,2,FALSE),"")</f>
        <v/>
      </c>
      <c r="E10" s="3" t="inlineStr"/>
      <c r="F10" s="3">
        <f>IFERROR(VLOOKUP(C10,Planogram!$A:$D,4,FALSE),0)</f>
        <v/>
      </c>
      <c r="G10" s="3">
        <f>MAX(0, F10-E10)</f>
        <v/>
      </c>
    </row>
    <row r="11">
      <c r="A11" s="3" t="inlineStr"/>
      <c r="B11" s="3" t="inlineStr"/>
      <c r="C11" s="3" t="inlineStr"/>
      <c r="D11" s="3">
        <f>IFERROR(VLOOKUP(C11,Products!$A:$M,2,FALSE),"")</f>
        <v/>
      </c>
      <c r="E11" s="3" t="inlineStr"/>
      <c r="F11" s="3">
        <f>IFERROR(VLOOKUP(C11,Planogram!$A:$D,4,FALSE),0)</f>
        <v/>
      </c>
      <c r="G11" s="3">
        <f>MAX(0, F11-E11)</f>
        <v/>
      </c>
    </row>
    <row r="12">
      <c r="A12" s="3" t="inlineStr"/>
      <c r="B12" s="3" t="inlineStr"/>
      <c r="C12" s="3" t="inlineStr"/>
      <c r="D12" s="3">
        <f>IFERROR(VLOOKUP(C12,Products!$A:$M,2,FALSE),"")</f>
        <v/>
      </c>
      <c r="E12" s="3" t="inlineStr"/>
      <c r="F12" s="3">
        <f>IFERROR(VLOOKUP(C12,Planogram!$A:$D,4,FALSE),0)</f>
        <v/>
      </c>
      <c r="G12" s="3">
        <f>MAX(0, F12-E12)</f>
        <v/>
      </c>
    </row>
    <row r="13">
      <c r="A13" s="3" t="inlineStr"/>
      <c r="B13" s="3" t="inlineStr"/>
      <c r="C13" s="3" t="inlineStr"/>
      <c r="D13" s="3">
        <f>IFERROR(VLOOKUP(C13,Products!$A:$M,2,FALSE),"")</f>
        <v/>
      </c>
      <c r="E13" s="3" t="inlineStr"/>
      <c r="F13" s="3">
        <f>IFERROR(VLOOKUP(C13,Planogram!$A:$D,4,FALSE),0)</f>
        <v/>
      </c>
      <c r="G13" s="3">
        <f>MAX(0, F13-E13)</f>
        <v/>
      </c>
    </row>
    <row r="14">
      <c r="A14" s="3" t="inlineStr"/>
      <c r="B14" s="3" t="inlineStr"/>
      <c r="C14" s="3" t="inlineStr"/>
      <c r="D14" s="3">
        <f>IFERROR(VLOOKUP(C14,Products!$A:$M,2,FALSE),"")</f>
        <v/>
      </c>
      <c r="E14" s="3" t="inlineStr"/>
      <c r="F14" s="3">
        <f>IFERROR(VLOOKUP(C14,Planogram!$A:$D,4,FALSE),0)</f>
        <v/>
      </c>
      <c r="G14" s="3">
        <f>MAX(0, F14-E14)</f>
        <v/>
      </c>
    </row>
    <row r="15">
      <c r="A15" s="3" t="inlineStr"/>
      <c r="B15" s="3" t="inlineStr"/>
      <c r="C15" s="3" t="inlineStr"/>
      <c r="D15" s="3">
        <f>IFERROR(VLOOKUP(C15,Products!$A:$M,2,FALSE),"")</f>
        <v/>
      </c>
      <c r="E15" s="3" t="inlineStr"/>
      <c r="F15" s="3">
        <f>IFERROR(VLOOKUP(C15,Planogram!$A:$D,4,FALSE),0)</f>
        <v/>
      </c>
      <c r="G15" s="3">
        <f>MAX(0, F15-E15)</f>
        <v/>
      </c>
    </row>
    <row r="16">
      <c r="A16" s="3" t="inlineStr"/>
      <c r="B16" s="3" t="inlineStr"/>
      <c r="C16" s="3" t="inlineStr"/>
      <c r="D16" s="3">
        <f>IFERROR(VLOOKUP(C16,Products!$A:$M,2,FALSE),"")</f>
        <v/>
      </c>
      <c r="E16" s="3" t="inlineStr"/>
      <c r="F16" s="3">
        <f>IFERROR(VLOOKUP(C16,Planogram!$A:$D,4,FALSE),0)</f>
        <v/>
      </c>
      <c r="G16" s="3">
        <f>MAX(0, F16-E16)</f>
        <v/>
      </c>
    </row>
    <row r="17">
      <c r="A17" s="3" t="inlineStr"/>
      <c r="B17" s="3" t="inlineStr"/>
      <c r="C17" s="3" t="inlineStr"/>
      <c r="D17" s="3">
        <f>IFERROR(VLOOKUP(C17,Products!$A:$M,2,FALSE),"")</f>
        <v/>
      </c>
      <c r="E17" s="3" t="inlineStr"/>
      <c r="F17" s="3">
        <f>IFERROR(VLOOKUP(C17,Planogram!$A:$D,4,FALSE),0)</f>
        <v/>
      </c>
      <c r="G17" s="3">
        <f>MAX(0, F17-E17)</f>
        <v/>
      </c>
    </row>
    <row r="18">
      <c r="A18" s="3" t="inlineStr"/>
      <c r="B18" s="3" t="inlineStr"/>
      <c r="C18" s="3" t="inlineStr"/>
      <c r="D18" s="3">
        <f>IFERROR(VLOOKUP(C18,Products!$A:$M,2,FALSE),"")</f>
        <v/>
      </c>
      <c r="E18" s="3" t="inlineStr"/>
      <c r="F18" s="3">
        <f>IFERROR(VLOOKUP(C18,Planogram!$A:$D,4,FALSE),0)</f>
        <v/>
      </c>
      <c r="G18" s="3">
        <f>MAX(0, F18-E18)</f>
        <v/>
      </c>
    </row>
    <row r="19">
      <c r="A19" s="3" t="inlineStr"/>
      <c r="B19" s="3" t="inlineStr"/>
      <c r="C19" s="3" t="inlineStr"/>
      <c r="D19" s="3">
        <f>IFERROR(VLOOKUP(C19,Products!$A:$M,2,FALSE),"")</f>
        <v/>
      </c>
      <c r="E19" s="3" t="inlineStr"/>
      <c r="F19" s="3">
        <f>IFERROR(VLOOKUP(C19,Planogram!$A:$D,4,FALSE),0)</f>
        <v/>
      </c>
      <c r="G19" s="3">
        <f>MAX(0, F19-E19)</f>
        <v/>
      </c>
    </row>
    <row r="20">
      <c r="A20" s="3" t="inlineStr"/>
      <c r="B20" s="3" t="inlineStr"/>
      <c r="C20" s="3" t="inlineStr"/>
      <c r="D20" s="3">
        <f>IFERROR(VLOOKUP(C20,Products!$A:$M,2,FALSE),"")</f>
        <v/>
      </c>
      <c r="E20" s="3" t="inlineStr"/>
      <c r="F20" s="3">
        <f>IFERROR(VLOOKUP(C20,Planogram!$A:$D,4,FALSE),0)</f>
        <v/>
      </c>
      <c r="G20" s="3">
        <f>MAX(0, F20-E20)</f>
        <v/>
      </c>
    </row>
    <row r="21">
      <c r="A21" s="3" t="inlineStr"/>
      <c r="B21" s="3" t="inlineStr"/>
      <c r="C21" s="3" t="inlineStr"/>
      <c r="D21" s="3">
        <f>IFERROR(VLOOKUP(C21,Products!$A:$M,2,FALSE),"")</f>
        <v/>
      </c>
      <c r="E21" s="3" t="inlineStr"/>
      <c r="F21" s="3">
        <f>IFERROR(VLOOKUP(C21,Planogram!$A:$D,4,FALSE),0)</f>
        <v/>
      </c>
      <c r="G21" s="3">
        <f>MAX(0, F21-E21)</f>
        <v/>
      </c>
    </row>
    <row r="22">
      <c r="A22" s="3" t="inlineStr"/>
      <c r="B22" s="3" t="inlineStr"/>
      <c r="C22" s="3" t="inlineStr"/>
      <c r="D22" s="3">
        <f>IFERROR(VLOOKUP(C22,Products!$A:$M,2,FALSE),"")</f>
        <v/>
      </c>
      <c r="E22" s="3" t="inlineStr"/>
      <c r="F22" s="3">
        <f>IFERROR(VLOOKUP(C22,Planogram!$A:$D,4,FALSE),0)</f>
        <v/>
      </c>
      <c r="G22" s="3">
        <f>MAX(0, F22-E22)</f>
        <v/>
      </c>
    </row>
    <row r="23">
      <c r="A23" s="3" t="inlineStr"/>
      <c r="B23" s="3" t="inlineStr"/>
      <c r="C23" s="3" t="inlineStr"/>
      <c r="D23" s="3">
        <f>IFERROR(VLOOKUP(C23,Products!$A:$M,2,FALSE),"")</f>
        <v/>
      </c>
      <c r="E23" s="3" t="inlineStr"/>
      <c r="F23" s="3">
        <f>IFERROR(VLOOKUP(C23,Planogram!$A:$D,4,FALSE),0)</f>
        <v/>
      </c>
      <c r="G23" s="3">
        <f>MAX(0, F23-E23)</f>
        <v/>
      </c>
    </row>
    <row r="24">
      <c r="A24" s="3" t="inlineStr"/>
      <c r="B24" s="3" t="inlineStr"/>
      <c r="C24" s="3" t="inlineStr"/>
      <c r="D24" s="3">
        <f>IFERROR(VLOOKUP(C24,Products!$A:$M,2,FALSE),"")</f>
        <v/>
      </c>
      <c r="E24" s="3" t="inlineStr"/>
      <c r="F24" s="3">
        <f>IFERROR(VLOOKUP(C24,Planogram!$A:$D,4,FALSE),0)</f>
        <v/>
      </c>
      <c r="G24" s="3">
        <f>MAX(0, F24-E24)</f>
        <v/>
      </c>
    </row>
    <row r="25">
      <c r="A25" s="3" t="inlineStr"/>
      <c r="B25" s="3" t="inlineStr"/>
      <c r="C25" s="3" t="inlineStr"/>
      <c r="D25" s="3">
        <f>IFERROR(VLOOKUP(C25,Products!$A:$M,2,FALSE),"")</f>
        <v/>
      </c>
      <c r="E25" s="3" t="inlineStr"/>
      <c r="F25" s="3">
        <f>IFERROR(VLOOKUP(C25,Planogram!$A:$D,4,FALSE),0)</f>
        <v/>
      </c>
      <c r="G25" s="3">
        <f>MAX(0, F25-E25)</f>
        <v/>
      </c>
    </row>
    <row r="26">
      <c r="A26" s="3" t="inlineStr"/>
      <c r="B26" s="3" t="inlineStr"/>
      <c r="C26" s="3" t="inlineStr"/>
      <c r="D26" s="3">
        <f>IFERROR(VLOOKUP(C26,Products!$A:$M,2,FALSE),"")</f>
        <v/>
      </c>
      <c r="E26" s="3" t="inlineStr"/>
      <c r="F26" s="3">
        <f>IFERROR(VLOOKUP(C26,Planogram!$A:$D,4,FALSE),0)</f>
        <v/>
      </c>
      <c r="G26" s="3">
        <f>MAX(0, F26-E26)</f>
        <v/>
      </c>
    </row>
    <row r="27">
      <c r="A27" s="3" t="inlineStr"/>
      <c r="B27" s="3" t="inlineStr"/>
      <c r="C27" s="3" t="inlineStr"/>
      <c r="D27" s="3">
        <f>IFERROR(VLOOKUP(C27,Products!$A:$M,2,FALSE),"")</f>
        <v/>
      </c>
      <c r="E27" s="3" t="inlineStr"/>
      <c r="F27" s="3">
        <f>IFERROR(VLOOKUP(C27,Planogram!$A:$D,4,FALSE),0)</f>
        <v/>
      </c>
      <c r="G27" s="3">
        <f>MAX(0, F27-E27)</f>
        <v/>
      </c>
    </row>
    <row r="28">
      <c r="A28" s="3" t="inlineStr"/>
      <c r="B28" s="3" t="inlineStr"/>
      <c r="C28" s="3" t="inlineStr"/>
      <c r="D28" s="3">
        <f>IFERROR(VLOOKUP(C28,Products!$A:$M,2,FALSE),"")</f>
        <v/>
      </c>
      <c r="E28" s="3" t="inlineStr"/>
      <c r="F28" s="3">
        <f>IFERROR(VLOOKUP(C28,Planogram!$A:$D,4,FALSE),0)</f>
        <v/>
      </c>
      <c r="G28" s="3">
        <f>MAX(0, F28-E28)</f>
        <v/>
      </c>
    </row>
    <row r="29">
      <c r="A29" s="3" t="inlineStr"/>
      <c r="B29" s="3" t="inlineStr"/>
      <c r="C29" s="3" t="inlineStr"/>
      <c r="D29" s="3">
        <f>IFERROR(VLOOKUP(C29,Products!$A:$M,2,FALSE),"")</f>
        <v/>
      </c>
      <c r="E29" s="3" t="inlineStr"/>
      <c r="F29" s="3">
        <f>IFERROR(VLOOKUP(C29,Planogram!$A:$D,4,FALSE),0)</f>
        <v/>
      </c>
      <c r="G29" s="3">
        <f>MAX(0, F29-E29)</f>
        <v/>
      </c>
    </row>
    <row r="30">
      <c r="A30" s="3" t="inlineStr"/>
      <c r="B30" s="3" t="inlineStr"/>
      <c r="C30" s="3" t="inlineStr"/>
      <c r="D30" s="3">
        <f>IFERROR(VLOOKUP(C30,Products!$A:$M,2,FALSE),"")</f>
        <v/>
      </c>
      <c r="E30" s="3" t="inlineStr"/>
      <c r="F30" s="3">
        <f>IFERROR(VLOOKUP(C30,Planogram!$A:$D,4,FALSE),0)</f>
        <v/>
      </c>
      <c r="G30" s="3">
        <f>MAX(0, F30-E30)</f>
        <v/>
      </c>
    </row>
    <row r="31">
      <c r="A31" s="3" t="inlineStr"/>
      <c r="B31" s="3" t="inlineStr"/>
      <c r="C31" s="3" t="inlineStr"/>
      <c r="D31" s="3">
        <f>IFERROR(VLOOKUP(C31,Products!$A:$M,2,FALSE),"")</f>
        <v/>
      </c>
      <c r="E31" s="3" t="inlineStr"/>
      <c r="F31" s="3">
        <f>IFERROR(VLOOKUP(C31,Planogram!$A:$D,4,FALSE),0)</f>
        <v/>
      </c>
      <c r="G31" s="3">
        <f>MAX(0, F31-E31)</f>
        <v/>
      </c>
    </row>
    <row r="32">
      <c r="A32" s="3" t="inlineStr"/>
      <c r="B32" s="3" t="inlineStr"/>
      <c r="C32" s="3" t="inlineStr"/>
      <c r="D32" s="3">
        <f>IFERROR(VLOOKUP(C32,Products!$A:$M,2,FALSE),"")</f>
        <v/>
      </c>
      <c r="E32" s="3" t="inlineStr"/>
      <c r="F32" s="3">
        <f>IFERROR(VLOOKUP(C32,Planogram!$A:$D,4,FALSE),0)</f>
        <v/>
      </c>
      <c r="G32" s="3">
        <f>MAX(0, F32-E32)</f>
        <v/>
      </c>
    </row>
    <row r="33">
      <c r="A33" s="3" t="inlineStr"/>
      <c r="B33" s="3" t="inlineStr"/>
      <c r="C33" s="3" t="inlineStr"/>
      <c r="D33" s="3">
        <f>IFERROR(VLOOKUP(C33,Products!$A:$M,2,FALSE),"")</f>
        <v/>
      </c>
      <c r="E33" s="3" t="inlineStr"/>
      <c r="F33" s="3">
        <f>IFERROR(VLOOKUP(C33,Planogram!$A:$D,4,FALSE),0)</f>
        <v/>
      </c>
      <c r="G33" s="3">
        <f>MAX(0, F33-E33)</f>
        <v/>
      </c>
    </row>
    <row r="34">
      <c r="A34" s="3" t="inlineStr"/>
      <c r="B34" s="3" t="inlineStr"/>
      <c r="C34" s="3" t="inlineStr"/>
      <c r="D34" s="3">
        <f>IFERROR(VLOOKUP(C34,Products!$A:$M,2,FALSE),"")</f>
        <v/>
      </c>
      <c r="E34" s="3" t="inlineStr"/>
      <c r="F34" s="3">
        <f>IFERROR(VLOOKUP(C34,Planogram!$A:$D,4,FALSE),0)</f>
        <v/>
      </c>
      <c r="G34" s="3">
        <f>MAX(0, F34-E34)</f>
        <v/>
      </c>
    </row>
    <row r="35">
      <c r="A35" s="3" t="inlineStr"/>
      <c r="B35" s="3" t="inlineStr"/>
      <c r="C35" s="3" t="inlineStr"/>
      <c r="D35" s="3">
        <f>IFERROR(VLOOKUP(C35,Products!$A:$M,2,FALSE),"")</f>
        <v/>
      </c>
      <c r="E35" s="3" t="inlineStr"/>
      <c r="F35" s="3">
        <f>IFERROR(VLOOKUP(C35,Planogram!$A:$D,4,FALSE),0)</f>
        <v/>
      </c>
      <c r="G35" s="3">
        <f>MAX(0, F35-E35)</f>
        <v/>
      </c>
    </row>
    <row r="36">
      <c r="A36" s="3" t="inlineStr"/>
      <c r="B36" s="3" t="inlineStr"/>
      <c r="C36" s="3" t="inlineStr"/>
      <c r="D36" s="3">
        <f>IFERROR(VLOOKUP(C36,Products!$A:$M,2,FALSE),"")</f>
        <v/>
      </c>
      <c r="E36" s="3" t="inlineStr"/>
      <c r="F36" s="3">
        <f>IFERROR(VLOOKUP(C36,Planogram!$A:$D,4,FALSE),0)</f>
        <v/>
      </c>
      <c r="G36" s="3">
        <f>MAX(0, F36-E36)</f>
        <v/>
      </c>
    </row>
    <row r="37">
      <c r="A37" s="3" t="inlineStr"/>
      <c r="B37" s="3" t="inlineStr"/>
      <c r="C37" s="3" t="inlineStr"/>
      <c r="D37" s="3">
        <f>IFERROR(VLOOKUP(C37,Products!$A:$M,2,FALSE),"")</f>
        <v/>
      </c>
      <c r="E37" s="3" t="inlineStr"/>
      <c r="F37" s="3">
        <f>IFERROR(VLOOKUP(C37,Planogram!$A:$D,4,FALSE),0)</f>
        <v/>
      </c>
      <c r="G37" s="3">
        <f>MAX(0, F37-E37)</f>
        <v/>
      </c>
    </row>
    <row r="38">
      <c r="A38" s="3" t="inlineStr"/>
      <c r="B38" s="3" t="inlineStr"/>
      <c r="C38" s="3" t="inlineStr"/>
      <c r="D38" s="3">
        <f>IFERROR(VLOOKUP(C38,Products!$A:$M,2,FALSE),"")</f>
        <v/>
      </c>
      <c r="E38" s="3" t="inlineStr"/>
      <c r="F38" s="3">
        <f>IFERROR(VLOOKUP(C38,Planogram!$A:$D,4,FALSE),0)</f>
        <v/>
      </c>
      <c r="G38" s="3">
        <f>MAX(0, F38-E38)</f>
        <v/>
      </c>
    </row>
    <row r="39">
      <c r="A39" s="3" t="inlineStr"/>
      <c r="B39" s="3" t="inlineStr"/>
      <c r="C39" s="3" t="inlineStr"/>
      <c r="D39" s="3">
        <f>IFERROR(VLOOKUP(C39,Products!$A:$M,2,FALSE),"")</f>
        <v/>
      </c>
      <c r="E39" s="3" t="inlineStr"/>
      <c r="F39" s="3">
        <f>IFERROR(VLOOKUP(C39,Planogram!$A:$D,4,FALSE),0)</f>
        <v/>
      </c>
      <c r="G39" s="3">
        <f>MAX(0, F39-E39)</f>
        <v/>
      </c>
    </row>
    <row r="40">
      <c r="A40" s="3" t="inlineStr"/>
      <c r="B40" s="3" t="inlineStr"/>
      <c r="C40" s="3" t="inlineStr"/>
      <c r="D40" s="3">
        <f>IFERROR(VLOOKUP(C40,Products!$A:$M,2,FALSE),"")</f>
        <v/>
      </c>
      <c r="E40" s="3" t="inlineStr"/>
      <c r="F40" s="3">
        <f>IFERROR(VLOOKUP(C40,Planogram!$A:$D,4,FALSE),0)</f>
        <v/>
      </c>
      <c r="G40" s="3">
        <f>MAX(0, F40-E40)</f>
        <v/>
      </c>
    </row>
    <row r="41">
      <c r="A41" s="3" t="inlineStr"/>
      <c r="B41" s="3" t="inlineStr"/>
      <c r="C41" s="3" t="inlineStr"/>
      <c r="D41" s="3">
        <f>IFERROR(VLOOKUP(C41,Products!$A:$M,2,FALSE),"")</f>
        <v/>
      </c>
      <c r="E41" s="3" t="inlineStr"/>
      <c r="F41" s="3">
        <f>IFERROR(VLOOKUP(C41,Planogram!$A:$D,4,FALSE),0)</f>
        <v/>
      </c>
      <c r="G41" s="3">
        <f>MAX(0, F41-E41)</f>
        <v/>
      </c>
    </row>
    <row r="42">
      <c r="A42" s="3" t="inlineStr"/>
      <c r="B42" s="3" t="inlineStr"/>
      <c r="C42" s="3" t="inlineStr"/>
      <c r="D42" s="3">
        <f>IFERROR(VLOOKUP(C42,Products!$A:$M,2,FALSE),"")</f>
        <v/>
      </c>
      <c r="E42" s="3" t="inlineStr"/>
      <c r="F42" s="3">
        <f>IFERROR(VLOOKUP(C42,Planogram!$A:$D,4,FALSE),0)</f>
        <v/>
      </c>
      <c r="G42" s="3">
        <f>MAX(0, F42-E42)</f>
        <v/>
      </c>
    </row>
    <row r="43">
      <c r="A43" s="3" t="inlineStr"/>
      <c r="B43" s="3" t="inlineStr"/>
      <c r="C43" s="3" t="inlineStr"/>
      <c r="D43" s="3">
        <f>IFERROR(VLOOKUP(C43,Products!$A:$M,2,FALSE),"")</f>
        <v/>
      </c>
      <c r="E43" s="3" t="inlineStr"/>
      <c r="F43" s="3">
        <f>IFERROR(VLOOKUP(C43,Planogram!$A:$D,4,FALSE),0)</f>
        <v/>
      </c>
      <c r="G43" s="3">
        <f>MAX(0, F43-E43)</f>
        <v/>
      </c>
    </row>
    <row r="44">
      <c r="A44" s="3" t="inlineStr"/>
      <c r="B44" s="3" t="inlineStr"/>
      <c r="C44" s="3" t="inlineStr"/>
      <c r="D44" s="3">
        <f>IFERROR(VLOOKUP(C44,Products!$A:$M,2,FALSE),"")</f>
        <v/>
      </c>
      <c r="E44" s="3" t="inlineStr"/>
      <c r="F44" s="3">
        <f>IFERROR(VLOOKUP(C44,Planogram!$A:$D,4,FALSE),0)</f>
        <v/>
      </c>
      <c r="G44" s="3">
        <f>MAX(0, F44-E44)</f>
        <v/>
      </c>
    </row>
    <row r="45">
      <c r="A45" s="3" t="inlineStr"/>
      <c r="B45" s="3" t="inlineStr"/>
      <c r="C45" s="3" t="inlineStr"/>
      <c r="D45" s="3">
        <f>IFERROR(VLOOKUP(C45,Products!$A:$M,2,FALSE),"")</f>
        <v/>
      </c>
      <c r="E45" s="3" t="inlineStr"/>
      <c r="F45" s="3">
        <f>IFERROR(VLOOKUP(C45,Planogram!$A:$D,4,FALSE),0)</f>
        <v/>
      </c>
      <c r="G45" s="3">
        <f>MAX(0, F45-E45)</f>
        <v/>
      </c>
    </row>
    <row r="46">
      <c r="A46" s="3" t="inlineStr"/>
      <c r="B46" s="3" t="inlineStr"/>
      <c r="C46" s="3" t="inlineStr"/>
      <c r="D46" s="3">
        <f>IFERROR(VLOOKUP(C46,Products!$A:$M,2,FALSE),"")</f>
        <v/>
      </c>
      <c r="E46" s="3" t="inlineStr"/>
      <c r="F46" s="3">
        <f>IFERROR(VLOOKUP(C46,Planogram!$A:$D,4,FALSE),0)</f>
        <v/>
      </c>
      <c r="G46" s="3">
        <f>MAX(0, F46-E46)</f>
        <v/>
      </c>
    </row>
    <row r="47">
      <c r="A47" s="3" t="inlineStr"/>
      <c r="B47" s="3" t="inlineStr"/>
      <c r="C47" s="3" t="inlineStr"/>
      <c r="D47" s="3">
        <f>IFERROR(VLOOKUP(C47,Products!$A:$M,2,FALSE),"")</f>
        <v/>
      </c>
      <c r="E47" s="3" t="inlineStr"/>
      <c r="F47" s="3">
        <f>IFERROR(VLOOKUP(C47,Planogram!$A:$D,4,FALSE),0)</f>
        <v/>
      </c>
      <c r="G47" s="3">
        <f>MAX(0, F47-E47)</f>
        <v/>
      </c>
    </row>
    <row r="48">
      <c r="A48" s="3" t="inlineStr"/>
      <c r="B48" s="3" t="inlineStr"/>
      <c r="C48" s="3" t="inlineStr"/>
      <c r="D48" s="3">
        <f>IFERROR(VLOOKUP(C48,Products!$A:$M,2,FALSE),"")</f>
        <v/>
      </c>
      <c r="E48" s="3" t="inlineStr"/>
      <c r="F48" s="3">
        <f>IFERROR(VLOOKUP(C48,Planogram!$A:$D,4,FALSE),0)</f>
        <v/>
      </c>
      <c r="G48" s="3">
        <f>MAX(0, F48-E48)</f>
        <v/>
      </c>
    </row>
    <row r="49">
      <c r="A49" s="3" t="inlineStr"/>
      <c r="B49" s="3" t="inlineStr"/>
      <c r="C49" s="3" t="inlineStr"/>
      <c r="D49" s="3">
        <f>IFERROR(VLOOKUP(C49,Products!$A:$M,2,FALSE),"")</f>
        <v/>
      </c>
      <c r="E49" s="3" t="inlineStr"/>
      <c r="F49" s="3">
        <f>IFERROR(VLOOKUP(C49,Planogram!$A:$D,4,FALSE),0)</f>
        <v/>
      </c>
      <c r="G49" s="3">
        <f>MAX(0, F49-E49)</f>
        <v/>
      </c>
    </row>
    <row r="50">
      <c r="A50" s="3" t="inlineStr"/>
      <c r="B50" s="3" t="inlineStr"/>
      <c r="C50" s="3" t="inlineStr"/>
      <c r="D50" s="3">
        <f>IFERROR(VLOOKUP(C50,Products!$A:$M,2,FALSE),"")</f>
        <v/>
      </c>
      <c r="E50" s="3" t="inlineStr"/>
      <c r="F50" s="3">
        <f>IFERROR(VLOOKUP(C50,Planogram!$A:$D,4,FALSE),0)</f>
        <v/>
      </c>
      <c r="G50" s="3">
        <f>MAX(0, F50-E50)</f>
        <v/>
      </c>
    </row>
    <row r="51">
      <c r="A51" s="3" t="inlineStr"/>
      <c r="B51" s="3" t="inlineStr"/>
      <c r="C51" s="3" t="inlineStr"/>
      <c r="D51" s="3">
        <f>IFERROR(VLOOKUP(C51,Products!$A:$M,2,FALSE),"")</f>
        <v/>
      </c>
      <c r="E51" s="3" t="inlineStr"/>
      <c r="F51" s="3">
        <f>IFERROR(VLOOKUP(C51,Planogram!$A:$D,4,FALSE),0)</f>
        <v/>
      </c>
      <c r="G51" s="3">
        <f>MAX(0, F51-E51)</f>
        <v/>
      </c>
    </row>
    <row r="52">
      <c r="A52" s="3" t="inlineStr"/>
      <c r="B52" s="3" t="inlineStr"/>
      <c r="C52" s="3" t="inlineStr"/>
      <c r="D52" s="3">
        <f>IFERROR(VLOOKUP(C52,Products!$A:$M,2,FALSE),"")</f>
        <v/>
      </c>
      <c r="E52" s="3" t="inlineStr"/>
      <c r="F52" s="3">
        <f>IFERROR(VLOOKUP(C52,Planogram!$A:$D,4,FALSE),0)</f>
        <v/>
      </c>
      <c r="G52" s="3">
        <f>MAX(0, F52-E52)</f>
        <v/>
      </c>
    </row>
    <row r="53">
      <c r="A53" s="3" t="inlineStr"/>
      <c r="B53" s="3" t="inlineStr"/>
      <c r="C53" s="3" t="inlineStr"/>
      <c r="D53" s="3">
        <f>IFERROR(VLOOKUP(C53,Products!$A:$M,2,FALSE),"")</f>
        <v/>
      </c>
      <c r="E53" s="3" t="inlineStr"/>
      <c r="F53" s="3">
        <f>IFERROR(VLOOKUP(C53,Planogram!$A:$D,4,FALSE),0)</f>
        <v/>
      </c>
      <c r="G53" s="3">
        <f>MAX(0, F53-E53)</f>
        <v/>
      </c>
    </row>
    <row r="54">
      <c r="A54" s="3" t="inlineStr"/>
      <c r="B54" s="3" t="inlineStr"/>
      <c r="C54" s="3" t="inlineStr"/>
      <c r="D54" s="3">
        <f>IFERROR(VLOOKUP(C54,Products!$A:$M,2,FALSE),"")</f>
        <v/>
      </c>
      <c r="E54" s="3" t="inlineStr"/>
      <c r="F54" s="3">
        <f>IFERROR(VLOOKUP(C54,Planogram!$A:$D,4,FALSE),0)</f>
        <v/>
      </c>
      <c r="G54" s="3">
        <f>MAX(0, F54-E54)</f>
        <v/>
      </c>
    </row>
    <row r="55">
      <c r="A55" s="3" t="inlineStr"/>
      <c r="B55" s="3" t="inlineStr"/>
      <c r="C55" s="3" t="inlineStr"/>
      <c r="D55" s="3">
        <f>IFERROR(VLOOKUP(C55,Products!$A:$M,2,FALSE),"")</f>
        <v/>
      </c>
      <c r="E55" s="3" t="inlineStr"/>
      <c r="F55" s="3">
        <f>IFERROR(VLOOKUP(C55,Planogram!$A:$D,4,FALSE),0)</f>
        <v/>
      </c>
      <c r="G55" s="3">
        <f>MAX(0, F55-E55)</f>
        <v/>
      </c>
    </row>
    <row r="56">
      <c r="A56" s="3" t="inlineStr"/>
      <c r="B56" s="3" t="inlineStr"/>
      <c r="C56" s="3" t="inlineStr"/>
      <c r="D56" s="3">
        <f>IFERROR(VLOOKUP(C56,Products!$A:$M,2,FALSE),"")</f>
        <v/>
      </c>
      <c r="E56" s="3" t="inlineStr"/>
      <c r="F56" s="3">
        <f>IFERROR(VLOOKUP(C56,Planogram!$A:$D,4,FALSE),0)</f>
        <v/>
      </c>
      <c r="G56" s="3">
        <f>MAX(0, F56-E56)</f>
        <v/>
      </c>
    </row>
    <row r="57">
      <c r="A57" s="3" t="inlineStr"/>
      <c r="B57" s="3" t="inlineStr"/>
      <c r="C57" s="3" t="inlineStr"/>
      <c r="D57" s="3">
        <f>IFERROR(VLOOKUP(C57,Products!$A:$M,2,FALSE),"")</f>
        <v/>
      </c>
      <c r="E57" s="3" t="inlineStr"/>
      <c r="F57" s="3">
        <f>IFERROR(VLOOKUP(C57,Planogram!$A:$D,4,FALSE),0)</f>
        <v/>
      </c>
      <c r="G57" s="3">
        <f>MAX(0, F57-E57)</f>
        <v/>
      </c>
    </row>
    <row r="58">
      <c r="A58" s="3" t="inlineStr"/>
      <c r="B58" s="3" t="inlineStr"/>
      <c r="C58" s="3" t="inlineStr"/>
      <c r="D58" s="3">
        <f>IFERROR(VLOOKUP(C58,Products!$A:$M,2,FALSE),"")</f>
        <v/>
      </c>
      <c r="E58" s="3" t="inlineStr"/>
      <c r="F58" s="3">
        <f>IFERROR(VLOOKUP(C58,Planogram!$A:$D,4,FALSE),0)</f>
        <v/>
      </c>
      <c r="G58" s="3">
        <f>MAX(0, F58-E58)</f>
        <v/>
      </c>
    </row>
    <row r="59">
      <c r="A59" s="3" t="inlineStr"/>
      <c r="B59" s="3" t="inlineStr"/>
      <c r="C59" s="3" t="inlineStr"/>
      <c r="D59" s="3">
        <f>IFERROR(VLOOKUP(C59,Products!$A:$M,2,FALSE),"")</f>
        <v/>
      </c>
      <c r="E59" s="3" t="inlineStr"/>
      <c r="F59" s="3">
        <f>IFERROR(VLOOKUP(C59,Planogram!$A:$D,4,FALSE),0)</f>
        <v/>
      </c>
      <c r="G59" s="3">
        <f>MAX(0, F59-E59)</f>
        <v/>
      </c>
    </row>
    <row r="60">
      <c r="A60" s="3" t="inlineStr"/>
      <c r="B60" s="3" t="inlineStr"/>
      <c r="C60" s="3" t="inlineStr"/>
      <c r="D60" s="3">
        <f>IFERROR(VLOOKUP(C60,Products!$A:$M,2,FALSE),"")</f>
        <v/>
      </c>
      <c r="E60" s="3" t="inlineStr"/>
      <c r="F60" s="3">
        <f>IFERROR(VLOOKUP(C60,Planogram!$A:$D,4,FALSE),0)</f>
        <v/>
      </c>
      <c r="G60" s="3">
        <f>MAX(0, F60-E60)</f>
        <v/>
      </c>
    </row>
    <row r="61">
      <c r="A61" s="3" t="inlineStr"/>
      <c r="B61" s="3" t="inlineStr"/>
      <c r="C61" s="3" t="inlineStr"/>
      <c r="D61" s="3">
        <f>IFERROR(VLOOKUP(C61,Products!$A:$M,2,FALSE),"")</f>
        <v/>
      </c>
      <c r="E61" s="3" t="inlineStr"/>
      <c r="F61" s="3">
        <f>IFERROR(VLOOKUP(C61,Planogram!$A:$D,4,FALSE),0)</f>
        <v/>
      </c>
      <c r="G61" s="3">
        <f>MAX(0, F61-E61)</f>
        <v/>
      </c>
    </row>
    <row r="62">
      <c r="A62" s="3" t="inlineStr"/>
      <c r="B62" s="3" t="inlineStr"/>
      <c r="C62" s="3" t="inlineStr"/>
      <c r="D62" s="3">
        <f>IFERROR(VLOOKUP(C62,Products!$A:$M,2,FALSE),"")</f>
        <v/>
      </c>
      <c r="E62" s="3" t="inlineStr"/>
      <c r="F62" s="3">
        <f>IFERROR(VLOOKUP(C62,Planogram!$A:$D,4,FALSE),0)</f>
        <v/>
      </c>
      <c r="G62" s="3">
        <f>MAX(0, F62-E62)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8" customWidth="1" min="4" max="4"/>
    <col width="20" customWidth="1" min="5" max="5"/>
  </cols>
  <sheetData>
    <row r="1">
      <c r="A1" s="1" t="inlineStr">
        <is>
          <t>Suggested Reorders per Stand (Filter Qty&gt;0)</t>
        </is>
      </c>
    </row>
    <row r="2">
      <c r="A2" s="2" t="inlineStr">
        <is>
          <t>رقم الأستاند</t>
        </is>
      </c>
      <c r="B2" s="2" t="inlineStr">
        <is>
          <t>اسم الصالون</t>
        </is>
      </c>
      <c r="C2" s="2" t="inlineStr">
        <is>
          <t>SKU</t>
        </is>
      </c>
      <c r="D2" s="2" t="inlineStr">
        <is>
          <t>اسم المنتج</t>
        </is>
      </c>
      <c r="E2" s="2" t="inlineStr">
        <is>
          <t>كمية الطلب المقترحة</t>
        </is>
      </c>
    </row>
    <row r="3">
      <c r="A3" s="3" t="inlineStr"/>
      <c r="B3" s="3" t="inlineStr">
        <is>
          <t>انسخ الصفوف من ورقة Stand Stock حيث كمية الطلب &gt; 0</t>
        </is>
      </c>
      <c r="C3" s="3" t="inlineStr"/>
      <c r="D3" s="3" t="inlineStr"/>
      <c r="E3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2025-10-04T13:40:44Z</dcterms:created>
  <dcterms:modified xmlns:dcterms="http://purl.org/dc/terms/" xmlns:xsi="http://www.w3.org/2001/XMLSchema-instance" xsi:type="dcterms:W3CDTF">2025-10-04T13:40:44Z</dcterms:modified>
</cp:coreProperties>
</file>